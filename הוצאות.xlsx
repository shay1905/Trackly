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ya\OneDrive\כספת אישית\"/>
    </mc:Choice>
  </mc:AlternateContent>
  <xr:revisionPtr revIDLastSave="0" documentId="13_ncr:1_{90764F4A-BD05-40A6-A069-32DCD299D8DC}" xr6:coauthVersionLast="47" xr6:coauthVersionMax="47" xr10:uidLastSave="{00000000-0000-0000-0000-000000000000}"/>
  <bookViews>
    <workbookView xWindow="14190" yWindow="0" windowWidth="14610" windowHeight="15480" xr2:uid="{00000000-000D-0000-FFFF-FFFF00000000}"/>
  </bookViews>
  <sheets>
    <sheet name="מעקב הכנסות והוצא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B26" i="1"/>
  <c r="T3" i="1"/>
  <c r="S3" i="1"/>
  <c r="P3" i="1"/>
  <c r="Q3" i="1"/>
  <c r="R3" i="1"/>
  <c r="O3" i="1"/>
  <c r="N3" i="1"/>
  <c r="M3" i="1"/>
  <c r="C3" i="1" l="1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tc={A5953856-3332-4944-A523-F7D4B8305CCC}</author>
    <author>tc={D3FDFAE9-8240-4DE7-BA42-B68D5FDCBF29}</author>
    <author>tc={CC271BB8-C40C-4D8B-88E2-8788D366B09E}</author>
    <author>tc={8002C90F-A7D4-42FE-819C-95E3B80987FE}</author>
    <author>tc={1ECB94A4-FDB8-4718-B03F-A8983CA12E40}</author>
    <author>tc={CF976291-6396-44C5-B144-4316B4CA01E5}</author>
    <author>tc={1DF44259-27D1-4962-9944-7FA13B450FDF}</author>
    <author>tc={6840F8C8-8396-4FBB-A251-0F2926EC57C2}</author>
    <author>tc={72FFE5D7-7AC8-47C1-B5E8-5A3C29A20F46}</author>
    <author>tc={6561A149-FB87-4FFA-874A-4E729E2A835B}</author>
    <author>tc={F333911C-4B2F-4058-91F4-6383FCB31484}</author>
  </authors>
  <commentList>
    <comment ref="J2" authorId="0" shapeId="0" xr:uid="{A5953856-3332-4944-A523-F7D4B8305CCC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223 - בילו 2
108 - שדרות קוגל 12</t>
      </text>
    </comment>
    <comment ref="H4" authorId="1" shapeId="0" xr:uid="{D3FDFAE9-8240-4DE7-BA42-B68D5FDCBF29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יצא הרבה למרות שזה חודש שטיילנו בו מאחר ושילמתי 900 שקל ועד באותו חודש</t>
      </text>
    </comment>
    <comment ref="I4" authorId="2" shapeId="0" xr:uid="{CC271BB8-C40C-4D8B-88E2-8788D366B09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קניות עם חנה לבית + קניות אישיות לבית (כי חנה בצבא)</t>
      </text>
    </comment>
    <comment ref="J4" authorId="3" shapeId="0" xr:uid="{8002C90F-A7D4-42FE-819C-95E3B80987F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Home - 2838
me - 490</t>
      </text>
    </comment>
    <comment ref="K4" authorId="4" shapeId="0" xr:uid="{1ECB94A4-FDB8-4718-B03F-A8983CA12E4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"כפל" שכר דירה + מוצרים חדשים לדירה -&gt; 6146
בנוסף:
ההובלה כולה עלתה לי ולחנה: 2650
חנה קיבלה החזר מנפש בנפש: 1800
850/2 = 425</t>
      </text>
    </comment>
    <comment ref="L4" authorId="5" shapeId="0" xr:uid="{CF976291-6396-44C5-B144-4316B4CA01E5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אני בלבד - 546
אני וחנה - 3262</t>
      </text>
    </comment>
    <comment ref="J11" authorId="6" shapeId="0" xr:uid="{1DF44259-27D1-4962-9944-7FA13B450FD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פנקס צ'קים (אחרי הזיכוי של יוליה)</t>
      </text>
    </comment>
    <comment ref="F15" authorId="7" shapeId="0" xr:uid="{6840F8C8-8396-4FBB-A251-0F2926EC57C2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Podwise</t>
      </text>
    </comment>
    <comment ref="E21" authorId="8" shapeId="0" xr:uid="{72FFE5D7-7AC8-47C1-B5E8-5A3C29A20F46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כרטיסי טיסה - טיול לויטנאם</t>
      </text>
    </comment>
    <comment ref="F21" authorId="9" shapeId="0" xr:uid="{6561A149-FB87-4FFA-874A-4E729E2A835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חיסון מנה 1</t>
      </text>
    </comment>
    <comment ref="G21" authorId="10" shapeId="0" xr:uid="{F333911C-4B2F-4058-91F4-6383FCB31484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ויזה לויטנאם - 93
חיסון מנה 2 - 201</t>
      </text>
    </comment>
  </commentList>
</comments>
</file>

<file path=xl/sharedStrings.xml><?xml version="1.0" encoding="utf-8"?>
<sst xmlns="http://schemas.openxmlformats.org/spreadsheetml/2006/main" count="25" uniqueCount="25">
  <si>
    <t>פירוט</t>
  </si>
  <si>
    <t>ארנונה (חודשית)</t>
  </si>
  <si>
    <t>דו"חות וקנסות</t>
  </si>
  <si>
    <t xml:space="preserve">ייעוץ מקצועי חיוני (רו"ח, עו"ד, פסיכולוג...) </t>
  </si>
  <si>
    <t>מנוי חדר כושר</t>
  </si>
  <si>
    <t>חניה</t>
  </si>
  <si>
    <t>מתנות</t>
  </si>
  <si>
    <t>ביטוחים רפואיים פרטיים (מכבי זהב וסיעודי, כלל- אובדן כושר עבודה, הראל - בריאות ומחלות קשות)</t>
  </si>
  <si>
    <t>מוצרים חייונים</t>
  </si>
  <si>
    <t>יציאות וישיבות עליי ועל חנה (כולל מסעדות, בתי קפה, משלוחים, ברים ואטקציות)</t>
  </si>
  <si>
    <t>חופשות בארץ (כולל הכל)</t>
  </si>
  <si>
    <t>חופשות בחו"ל (כולל הכל)</t>
  </si>
  <si>
    <t>ביגוד ואופנה</t>
  </si>
  <si>
    <t>קניות רנדומליות</t>
  </si>
  <si>
    <t>תספורות וטיפולים קוסמטיים</t>
  </si>
  <si>
    <t>קורקינט</t>
  </si>
  <si>
    <t>דלק</t>
  </si>
  <si>
    <t>אוטובוסים ורכבות</t>
  </si>
  <si>
    <t>סה"כ הוצאות שלי על הדירה (לא כולל ארנונה)</t>
  </si>
  <si>
    <t>רפואה משלימה ופיזיותרפיה</t>
  </si>
  <si>
    <t>תרופות, בדיקות וטיפולים רפואיים (דרך קופת החולים או באופן פרטי)</t>
  </si>
  <si>
    <t>הלוואת 40 אלף שקל ללא ריבית ל-3 שנים</t>
  </si>
  <si>
    <t>אחר (בלת"ם, מקרה חירום...)</t>
  </si>
  <si>
    <t>חינוך והשכלה
(ספרים, קורסים..)</t>
  </si>
  <si>
    <t>כלל המינויים (נטפליקס, ספוטיפיי, מייקרוסופט, גוגל וואן, צ'אט, קלוד..)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</si>
</sst>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₪-40D]#,##0.00"/>
  </numFmts>
  <fonts count="5" x14ac:knownFonts="1">
    <font>
      <sz val="10"/>
      <color rgb="FF00000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theme="8" tint="0.39997558519241921"/>
        <bgColor rgb="FF76A5AF"/>
      </patternFill>
    </fill>
    <fill>
      <patternFill patternType="solid">
        <fgColor theme="8" tint="0.39997558519241921"/>
        <bgColor rgb="FFF3F3F3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" fontId="4" fillId="5" borderId="1" xfId="0" applyNumberFormat="1" applyFont="1" applyFill="1" applyBorder="1" applyAlignment="1">
      <alignment horizontal="center" vertical="center" wrapText="1"/>
    </xf>
    <xf numFmtId="17" fontId="4" fillId="6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שי אביטבול" id="{13F86965-2845-40C8-9E03-0FC379762E9C}" userId="שי אביטבול" providerId="None"/>
  <person displayName="Shay Abitbol" id="{6837E059-07E5-4DA1-AB2C-BF35237E8A17}" userId="Shay Abitbol" providerId="None"/>
  <person displayName="שי אביטבול" id="{60E87788-039E-46E8-BA97-DFAA516CCC0E}" userId="2fb34355ac5ebdf5" providerId="Windows Live"/>
</personList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05-29T07:25:37.34" personId="{6837E059-07E5-4DA1-AB2C-BF35237E8A17}" id="{A5953856-3332-4944-A523-F7D4B8305CCC}">
    <text>223 - בילו 2
108 - שדרות קוגל 12</text>
  </threadedComment>
  <threadedComment ref="H4" dT="2025-04-01T03:31:40.40" personId="{13F86965-2845-40C8-9E03-0FC379762E9C}" id="{D3FDFAE9-8240-4DE7-BA42-B68D5FDCBF29}">
    <text>יצא הרבה למרות שזה חודש שטיילנו בו מאחר ושילמתי 900 שקל ועד באותו חודש</text>
  </threadedComment>
  <threadedComment ref="I4" dT="2025-05-06T08:33:11.31" personId="{6837E059-07E5-4DA1-AB2C-BF35237E8A17}" id="{CC271BB8-C40C-4D8B-88E2-8788D366B09E}">
    <text>קניות עם חנה לבית + קניות אישיות לבית (כי חנה בצבא)</text>
  </threadedComment>
  <threadedComment ref="J4" dT="2025-06-01T10:32:34.73" personId="{6837E059-07E5-4DA1-AB2C-BF35237E8A17}" id="{8002C90F-A7D4-42FE-819C-95E3B80987FE}">
    <text>Home - 2838
me - 490</text>
  </threadedComment>
  <threadedComment ref="K4" dT="2025-07-06T17:51:12.82" personId="{13F86965-2845-40C8-9E03-0FC379762E9C}" id="{1ECB94A4-FDB8-4718-B03F-A8983CA12E40}">
    <text>"כפל" שכר דירה + מוצרים חדשים לדירה -&gt; 6146
בנוסף:
ההובלה כולה עלתה לי ולחנה: 2650
חנה קיבלה החזר מנפש בנפש: 1800
850/2 = 425</text>
  </threadedComment>
  <threadedComment ref="L4" dT="2025-08-06T05:36:07.43" personId="{6837E059-07E5-4DA1-AB2C-BF35237E8A17}" id="{CF976291-6396-44C5-B144-4316B4CA01E5}">
    <text>אני בלבד - 546
אני וחנה - 3262</text>
  </threadedComment>
  <threadedComment ref="J11" dT="2025-06-01T10:34:36.56" personId="{6837E059-07E5-4DA1-AB2C-BF35237E8A17}" id="{1DF44259-27D1-4962-9944-7FA13B450FDF}">
    <text>פנקס צ'קים (אחרי הזיכוי של יוליה)</text>
  </threadedComment>
  <threadedComment ref="F15" dT="2025-03-03T12:37:42.29" personId="{60E87788-039E-46E8-BA97-DFAA516CCC0E}" id="{6840F8C8-8396-4FBB-A251-0F2926EC57C2}">
    <text>Podwise</text>
  </threadedComment>
  <threadedComment ref="E21" dT="2025-03-03T07:15:19.95" personId="{60E87788-039E-46E8-BA97-DFAA516CCC0E}" id="{72FFE5D7-7AC8-47C1-B5E8-5A3C29A20F46}">
    <text>כרטיסי טיסה - טיול לויטנאם</text>
  </threadedComment>
  <threadedComment ref="F21" dT="2025-03-03T12:45:20.25" personId="{60E87788-039E-46E8-BA97-DFAA516CCC0E}" id="{6561A149-FB87-4FFA-874A-4E729E2A835B}">
    <text>חיסון מנה 1</text>
  </threadedComment>
  <threadedComment ref="G21" dT="2025-03-03T12:34:51.00" personId="{60E87788-039E-46E8-BA97-DFAA516CCC0E}" id="{F333911C-4B2F-4058-91F4-6383FCB31484}">
    <text>ויזה לויטנאם - 93
חיסון מנה 2 - 201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6"/>
  <sheetViews>
    <sheetView rightToLeft="1" tabSelected="1" zoomScaleNormal="100" workbookViewId="0">
      <pane xSplit="1" topLeftCell="B1" activePane="topRight" state="frozen"/>
      <selection pane="topRight" activeCell="P15" sqref="A15:P17"/>
    </sheetView>
  </sheetViews>
  <sheetFormatPr defaultColWidth="12.7109375" defaultRowHeight="15.75" customHeight="1" x14ac:dyDescent="0.2"/>
  <cols>
    <col min="1" max="1" width="25.7109375" style="1" customWidth="1"/>
    <col min="2" max="2" width="12.28515625" style="1" customWidth="1"/>
    <col min="3" max="7" width="10.7109375" style="1" bestFit="1" customWidth="1"/>
    <col min="8" max="10" width="10.42578125" style="1" bestFit="1" customWidth="1"/>
    <col min="11" max="11" width="10.7109375" style="1" bestFit="1" customWidth="1"/>
    <col min="12" max="13" width="10.42578125" style="1" bestFit="1" customWidth="1"/>
    <col min="14" max="20" width="10.42578125" style="1" customWidth="1"/>
    <col min="21" max="16384" width="12.7109375" style="1"/>
  </cols>
  <sheetData>
    <row r="1" spans="1:20" ht="12.75" x14ac:dyDescent="0.2">
      <c r="A1" s="4" t="s">
        <v>0</v>
      </c>
      <c r="B1" s="5">
        <v>45536</v>
      </c>
      <c r="C1" s="5">
        <v>45566</v>
      </c>
      <c r="D1" s="6">
        <v>45597</v>
      </c>
      <c r="E1" s="6">
        <v>45627</v>
      </c>
      <c r="F1" s="5">
        <v>45658</v>
      </c>
      <c r="G1" s="5">
        <v>45689</v>
      </c>
      <c r="H1" s="5">
        <v>45717</v>
      </c>
      <c r="I1" s="5">
        <v>45748</v>
      </c>
      <c r="J1" s="5">
        <v>45778</v>
      </c>
      <c r="K1" s="5">
        <v>45809</v>
      </c>
      <c r="L1" s="5">
        <v>45839</v>
      </c>
      <c r="M1" s="5">
        <v>45870</v>
      </c>
      <c r="N1" s="5">
        <v>45901</v>
      </c>
      <c r="O1" s="5">
        <v>45931</v>
      </c>
      <c r="P1" s="5">
        <v>45962</v>
      </c>
      <c r="Q1" s="5">
        <v>45992</v>
      </c>
      <c r="R1" s="5">
        <v>46023</v>
      </c>
      <c r="S1" s="5">
        <v>46054</v>
      </c>
      <c r="T1" s="5">
        <v>46082</v>
      </c>
    </row>
    <row r="2" spans="1:20" ht="12.75" x14ac:dyDescent="0.2">
      <c r="A2" s="2" t="s">
        <v>1</v>
      </c>
      <c r="B2" s="7">
        <v>290</v>
      </c>
      <c r="C2" s="7">
        <v>0</v>
      </c>
      <c r="D2" s="7">
        <v>290</v>
      </c>
      <c r="E2" s="7">
        <v>0</v>
      </c>
      <c r="F2" s="3">
        <v>290</v>
      </c>
      <c r="G2" s="3">
        <v>0</v>
      </c>
      <c r="H2" s="3">
        <v>290</v>
      </c>
      <c r="I2" s="3">
        <v>0</v>
      </c>
      <c r="J2" s="3">
        <v>331</v>
      </c>
      <c r="K2" s="3">
        <v>0</v>
      </c>
      <c r="L2" s="3">
        <v>380</v>
      </c>
      <c r="M2" s="3">
        <v>0</v>
      </c>
      <c r="N2" s="3">
        <v>373</v>
      </c>
      <c r="O2" s="3">
        <v>0</v>
      </c>
      <c r="P2" s="3">
        <v>377</v>
      </c>
      <c r="Q2" s="3">
        <v>0</v>
      </c>
      <c r="R2" s="3">
        <v>392</v>
      </c>
      <c r="S2" s="3">
        <v>0</v>
      </c>
      <c r="T2" s="3">
        <v>404</v>
      </c>
    </row>
    <row r="3" spans="1:20" ht="51" x14ac:dyDescent="0.2">
      <c r="A3" s="2" t="s">
        <v>7</v>
      </c>
      <c r="B3" s="7">
        <f>16.6+48.4+33+9.5</f>
        <v>107.5</v>
      </c>
      <c r="C3" s="7">
        <f t="shared" ref="C3:T3" si="0">16.6+48.4+33+9.5</f>
        <v>107.5</v>
      </c>
      <c r="D3" s="7">
        <f t="shared" si="0"/>
        <v>107.5</v>
      </c>
      <c r="E3" s="7">
        <f t="shared" si="0"/>
        <v>107.5</v>
      </c>
      <c r="F3" s="7">
        <f t="shared" si="0"/>
        <v>107.5</v>
      </c>
      <c r="G3" s="7">
        <f t="shared" si="0"/>
        <v>107.5</v>
      </c>
      <c r="H3" s="7">
        <f t="shared" si="0"/>
        <v>107.5</v>
      </c>
      <c r="I3" s="7">
        <f t="shared" si="0"/>
        <v>107.5</v>
      </c>
      <c r="J3" s="7">
        <f t="shared" si="0"/>
        <v>107.5</v>
      </c>
      <c r="K3" s="7">
        <f t="shared" si="0"/>
        <v>107.5</v>
      </c>
      <c r="L3" s="7">
        <f t="shared" si="0"/>
        <v>107.5</v>
      </c>
      <c r="M3" s="7">
        <f t="shared" si="0"/>
        <v>107.5</v>
      </c>
      <c r="N3" s="7">
        <f t="shared" si="0"/>
        <v>107.5</v>
      </c>
      <c r="O3" s="7">
        <f t="shared" si="0"/>
        <v>107.5</v>
      </c>
      <c r="P3" s="7">
        <f t="shared" si="0"/>
        <v>107.5</v>
      </c>
      <c r="Q3" s="7">
        <f t="shared" si="0"/>
        <v>107.5</v>
      </c>
      <c r="R3" s="7">
        <f t="shared" si="0"/>
        <v>107.5</v>
      </c>
      <c r="S3" s="7">
        <f t="shared" si="0"/>
        <v>107.5</v>
      </c>
      <c r="T3" s="7">
        <f t="shared" si="0"/>
        <v>107.5</v>
      </c>
    </row>
    <row r="4" spans="1:20" ht="25.5" x14ac:dyDescent="0.2">
      <c r="A4" s="2" t="s">
        <v>18</v>
      </c>
      <c r="B4" s="7">
        <v>4400</v>
      </c>
      <c r="C4" s="7">
        <v>4220</v>
      </c>
      <c r="D4" s="7">
        <v>5266</v>
      </c>
      <c r="E4" s="7">
        <v>4821</v>
      </c>
      <c r="F4" s="3">
        <v>3808</v>
      </c>
      <c r="G4" s="3">
        <v>3226</v>
      </c>
      <c r="H4" s="3">
        <v>3175</v>
      </c>
      <c r="I4" s="3">
        <v>2457</v>
      </c>
      <c r="J4" s="3">
        <v>3328</v>
      </c>
      <c r="K4" s="3">
        <v>6571</v>
      </c>
      <c r="L4" s="3">
        <v>3808</v>
      </c>
      <c r="M4" s="3">
        <v>3517</v>
      </c>
      <c r="N4" s="3">
        <v>3588</v>
      </c>
      <c r="O4" s="3">
        <v>3866</v>
      </c>
      <c r="P4" s="3">
        <v>4070</v>
      </c>
      <c r="Q4" s="3">
        <v>4145</v>
      </c>
      <c r="R4" s="3">
        <v>3764</v>
      </c>
      <c r="S4" s="3">
        <v>4622</v>
      </c>
      <c r="T4" s="3">
        <v>5114</v>
      </c>
    </row>
    <row r="5" spans="1:20" ht="38.25" x14ac:dyDescent="0.2">
      <c r="A5" s="2" t="s">
        <v>20</v>
      </c>
      <c r="B5" s="3">
        <v>135</v>
      </c>
      <c r="C5" s="3">
        <v>138</v>
      </c>
      <c r="D5" s="3">
        <v>240</v>
      </c>
      <c r="E5" s="3">
        <v>150</v>
      </c>
      <c r="F5" s="3">
        <v>361</v>
      </c>
      <c r="G5" s="3">
        <v>4375</v>
      </c>
      <c r="H5" s="3">
        <v>45</v>
      </c>
      <c r="I5" s="3">
        <v>45</v>
      </c>
      <c r="J5" s="3">
        <v>84</v>
      </c>
      <c r="K5" s="3">
        <v>372</v>
      </c>
      <c r="L5" s="3">
        <v>51</v>
      </c>
      <c r="M5" s="3">
        <v>118</v>
      </c>
      <c r="N5" s="3">
        <v>85</v>
      </c>
      <c r="O5" s="3">
        <v>51</v>
      </c>
      <c r="P5" s="3">
        <v>137</v>
      </c>
      <c r="Q5" s="3">
        <v>224</v>
      </c>
      <c r="R5" s="3">
        <v>51</v>
      </c>
      <c r="S5" s="3">
        <v>306</v>
      </c>
      <c r="T5" s="3">
        <v>294</v>
      </c>
    </row>
    <row r="6" spans="1:20" ht="12.75" x14ac:dyDescent="0.2">
      <c r="A6" s="2" t="s">
        <v>19</v>
      </c>
      <c r="B6" s="3">
        <v>0</v>
      </c>
      <c r="C6" s="3">
        <v>0</v>
      </c>
      <c r="D6" s="3">
        <v>0</v>
      </c>
      <c r="E6" s="3">
        <v>450</v>
      </c>
      <c r="F6" s="3">
        <v>1350</v>
      </c>
      <c r="G6" s="3">
        <v>1350</v>
      </c>
      <c r="H6" s="3">
        <v>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300</v>
      </c>
      <c r="R6" s="3">
        <v>0</v>
      </c>
      <c r="S6" s="3">
        <v>200</v>
      </c>
      <c r="T6" s="3">
        <v>0</v>
      </c>
    </row>
    <row r="7" spans="1:20" ht="12.75" x14ac:dyDescent="0.2">
      <c r="A7" s="2" t="s">
        <v>17</v>
      </c>
      <c r="B7" s="3">
        <v>60</v>
      </c>
      <c r="C7" s="3">
        <v>42</v>
      </c>
      <c r="D7" s="3">
        <v>36</v>
      </c>
      <c r="E7" s="3">
        <v>12</v>
      </c>
      <c r="F7" s="3">
        <v>75</v>
      </c>
      <c r="G7" s="3">
        <v>57.5</v>
      </c>
      <c r="H7" s="3">
        <v>88</v>
      </c>
      <c r="I7" s="3">
        <v>22</v>
      </c>
      <c r="J7" s="3">
        <v>16</v>
      </c>
      <c r="K7" s="3">
        <v>16</v>
      </c>
      <c r="L7" s="3">
        <v>66</v>
      </c>
      <c r="M7" s="3">
        <v>111</v>
      </c>
      <c r="N7" s="3">
        <v>24</v>
      </c>
      <c r="O7" s="3">
        <v>0</v>
      </c>
      <c r="P7" s="3">
        <v>24</v>
      </c>
      <c r="Q7" s="3">
        <v>72</v>
      </c>
      <c r="R7" s="3">
        <v>80</v>
      </c>
      <c r="S7" s="3">
        <v>0</v>
      </c>
      <c r="T7" s="3">
        <v>48</v>
      </c>
    </row>
    <row r="8" spans="1:20" ht="12.75" x14ac:dyDescent="0.2">
      <c r="A8" s="2" t="s">
        <v>15</v>
      </c>
      <c r="B8" s="3">
        <v>533</v>
      </c>
      <c r="C8" s="3">
        <v>282</v>
      </c>
      <c r="D8" s="3">
        <v>524</v>
      </c>
      <c r="E8" s="3">
        <v>305</v>
      </c>
      <c r="F8" s="3">
        <v>524</v>
      </c>
      <c r="G8" s="3">
        <v>282</v>
      </c>
      <c r="H8" s="3">
        <v>83</v>
      </c>
      <c r="I8" s="3">
        <v>286</v>
      </c>
      <c r="J8" s="3">
        <v>286</v>
      </c>
      <c r="K8" s="3">
        <v>308</v>
      </c>
      <c r="L8" s="3">
        <v>286</v>
      </c>
      <c r="M8" s="3">
        <v>286</v>
      </c>
      <c r="N8" s="3">
        <v>532</v>
      </c>
      <c r="O8" s="3">
        <v>286</v>
      </c>
      <c r="P8" s="3">
        <v>303</v>
      </c>
      <c r="Q8" s="3">
        <v>286</v>
      </c>
      <c r="R8" s="3">
        <v>286</v>
      </c>
      <c r="S8" s="3">
        <v>40</v>
      </c>
      <c r="T8" s="3">
        <v>213</v>
      </c>
    </row>
    <row r="9" spans="1:20" ht="12.75" x14ac:dyDescent="0.2">
      <c r="A9" s="2" t="s">
        <v>16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130</v>
      </c>
      <c r="H9" s="3">
        <v>0</v>
      </c>
      <c r="I9" s="3">
        <v>0</v>
      </c>
      <c r="J9" s="3">
        <v>0</v>
      </c>
      <c r="K9" s="3">
        <v>0</v>
      </c>
      <c r="L9" s="3">
        <v>50</v>
      </c>
      <c r="M9" s="3">
        <v>0</v>
      </c>
      <c r="N9" s="3">
        <v>50</v>
      </c>
      <c r="O9" s="3">
        <v>0</v>
      </c>
      <c r="P9" s="3">
        <v>50</v>
      </c>
      <c r="Q9" s="3">
        <v>0</v>
      </c>
      <c r="R9" s="3">
        <v>0</v>
      </c>
      <c r="S9" s="3">
        <v>0</v>
      </c>
      <c r="T9" s="3">
        <v>0</v>
      </c>
    </row>
    <row r="10" spans="1:20" ht="12.75" x14ac:dyDescent="0.2">
      <c r="A10" s="2" t="s">
        <v>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ht="12.75" x14ac:dyDescent="0.2">
      <c r="A11" s="8" t="s">
        <v>8</v>
      </c>
      <c r="B11" s="7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253</v>
      </c>
      <c r="I11" s="3">
        <v>0</v>
      </c>
      <c r="J11" s="3">
        <v>25</v>
      </c>
      <c r="K11" s="3">
        <v>0</v>
      </c>
      <c r="L11" s="3">
        <v>0</v>
      </c>
      <c r="M11" s="3">
        <v>250</v>
      </c>
      <c r="N11" s="3">
        <v>0</v>
      </c>
      <c r="O11" s="3">
        <v>139</v>
      </c>
      <c r="P11" s="3">
        <v>0</v>
      </c>
      <c r="Q11" s="3">
        <v>80</v>
      </c>
      <c r="R11" s="3">
        <v>0</v>
      </c>
      <c r="S11" s="3">
        <v>0</v>
      </c>
      <c r="T11" s="3">
        <v>0</v>
      </c>
    </row>
    <row r="12" spans="1:20" ht="25.5" x14ac:dyDescent="0.2">
      <c r="A12" s="2" t="s">
        <v>23</v>
      </c>
      <c r="B12" s="7">
        <v>0</v>
      </c>
      <c r="C12" s="3">
        <v>191</v>
      </c>
      <c r="D12" s="3">
        <v>0</v>
      </c>
      <c r="E12" s="3">
        <v>139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350</v>
      </c>
      <c r="S12" s="3">
        <v>0</v>
      </c>
      <c r="T12" s="3">
        <v>164</v>
      </c>
    </row>
    <row r="13" spans="1:20" ht="25.5" x14ac:dyDescent="0.2">
      <c r="A13" s="2" t="s">
        <v>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900</v>
      </c>
      <c r="S13" s="3">
        <v>0</v>
      </c>
      <c r="T13" s="3">
        <v>0</v>
      </c>
    </row>
    <row r="14" spans="1:20" ht="12.75" x14ac:dyDescent="0.2">
      <c r="A14" s="2" t="s">
        <v>22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ht="38.25" x14ac:dyDescent="0.2">
      <c r="A15" s="2" t="s">
        <v>24</v>
      </c>
      <c r="B15" s="7">
        <v>72</v>
      </c>
      <c r="C15" s="3">
        <v>72</v>
      </c>
      <c r="D15" s="3">
        <v>72</v>
      </c>
      <c r="E15" s="3">
        <v>72</v>
      </c>
      <c r="F15" s="3">
        <v>147</v>
      </c>
      <c r="G15" s="3">
        <v>147</v>
      </c>
      <c r="H15" s="3">
        <v>147</v>
      </c>
      <c r="I15" s="3">
        <v>147</v>
      </c>
      <c r="J15" s="3">
        <v>72</v>
      </c>
      <c r="K15" s="3">
        <v>72</v>
      </c>
      <c r="L15" s="3">
        <v>139</v>
      </c>
      <c r="M15" s="3">
        <v>139</v>
      </c>
      <c r="N15" s="3">
        <v>139</v>
      </c>
      <c r="O15" s="3">
        <v>139</v>
      </c>
      <c r="P15" s="3">
        <v>139</v>
      </c>
      <c r="Q15" s="3">
        <v>139</v>
      </c>
      <c r="R15" s="3">
        <v>139</v>
      </c>
      <c r="S15" s="3">
        <v>139</v>
      </c>
      <c r="T15" s="3">
        <v>139</v>
      </c>
    </row>
    <row r="16" spans="1:20" ht="12.75" x14ac:dyDescent="0.2">
      <c r="A16" s="2" t="s">
        <v>4</v>
      </c>
      <c r="B16" s="3">
        <v>150</v>
      </c>
      <c r="C16" s="3">
        <v>150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298</v>
      </c>
      <c r="M16" s="3">
        <v>298</v>
      </c>
      <c r="N16" s="3">
        <v>298</v>
      </c>
      <c r="O16" s="3">
        <v>298</v>
      </c>
      <c r="P16" s="3">
        <v>298</v>
      </c>
      <c r="Q16" s="3">
        <v>298</v>
      </c>
      <c r="R16" s="3">
        <v>298</v>
      </c>
      <c r="S16" s="3">
        <v>298</v>
      </c>
      <c r="T16" s="3">
        <v>298</v>
      </c>
    </row>
    <row r="17" spans="1:20" ht="38.25" x14ac:dyDescent="0.2">
      <c r="A17" s="8" t="s">
        <v>9</v>
      </c>
      <c r="B17" s="3">
        <v>1200</v>
      </c>
      <c r="C17" s="3">
        <v>1610</v>
      </c>
      <c r="D17" s="3">
        <v>1400</v>
      </c>
      <c r="E17" s="3">
        <v>1480</v>
      </c>
      <c r="F17" s="3">
        <v>1930</v>
      </c>
      <c r="G17" s="3">
        <v>1555</v>
      </c>
      <c r="H17" s="3">
        <v>1642</v>
      </c>
      <c r="I17" s="3">
        <v>346</v>
      </c>
      <c r="J17" s="3">
        <v>2000</v>
      </c>
      <c r="K17" s="3">
        <v>759</v>
      </c>
      <c r="L17" s="3">
        <v>1753</v>
      </c>
      <c r="M17" s="3">
        <v>1624</v>
      </c>
      <c r="N17" s="3">
        <v>1180</v>
      </c>
      <c r="O17" s="3">
        <v>1506</v>
      </c>
      <c r="P17" s="3">
        <v>1646</v>
      </c>
      <c r="Q17" s="3">
        <v>1005</v>
      </c>
      <c r="R17" s="3">
        <v>1220</v>
      </c>
      <c r="S17" s="3">
        <v>1669</v>
      </c>
      <c r="T17" s="3">
        <v>1214</v>
      </c>
    </row>
    <row r="18" spans="1:20" ht="12.75" x14ac:dyDescent="0.2">
      <c r="A18" s="8" t="s">
        <v>14</v>
      </c>
      <c r="B18" s="3">
        <v>70</v>
      </c>
      <c r="C18" s="3">
        <v>140</v>
      </c>
      <c r="D18" s="3">
        <v>70</v>
      </c>
      <c r="E18" s="3">
        <v>70</v>
      </c>
      <c r="F18" s="3">
        <v>70</v>
      </c>
      <c r="G18" s="3">
        <v>0</v>
      </c>
      <c r="H18" s="3">
        <v>0</v>
      </c>
      <c r="I18" s="3">
        <v>70</v>
      </c>
      <c r="J18" s="3">
        <v>140</v>
      </c>
      <c r="K18" s="3">
        <v>140</v>
      </c>
      <c r="L18" s="3">
        <v>140</v>
      </c>
      <c r="M18" s="3">
        <v>0</v>
      </c>
      <c r="N18" s="3">
        <v>70</v>
      </c>
      <c r="O18" s="3">
        <v>70</v>
      </c>
      <c r="P18" s="3">
        <v>70</v>
      </c>
      <c r="Q18" s="3">
        <v>70</v>
      </c>
      <c r="R18" s="3">
        <v>70</v>
      </c>
      <c r="S18" s="3">
        <v>80</v>
      </c>
      <c r="T18" s="3">
        <v>160</v>
      </c>
    </row>
    <row r="19" spans="1:20" ht="12.75" x14ac:dyDescent="0.2">
      <c r="A19" s="2" t="s">
        <v>5</v>
      </c>
      <c r="B19" s="3">
        <v>198</v>
      </c>
      <c r="C19" s="3">
        <v>136</v>
      </c>
      <c r="D19" s="3">
        <v>29</v>
      </c>
      <c r="E19" s="3">
        <v>41</v>
      </c>
      <c r="F19" s="3">
        <v>3</v>
      </c>
      <c r="G19" s="3">
        <v>64</v>
      </c>
      <c r="H19" s="3">
        <v>0</v>
      </c>
      <c r="I19" s="3">
        <v>0</v>
      </c>
      <c r="J19" s="3">
        <v>82</v>
      </c>
      <c r="K19" s="3">
        <v>27</v>
      </c>
      <c r="L19" s="3">
        <v>96</v>
      </c>
      <c r="M19" s="3">
        <v>97</v>
      </c>
      <c r="N19" s="3">
        <v>24</v>
      </c>
      <c r="O19" s="3">
        <v>155</v>
      </c>
      <c r="P19" s="3">
        <v>102</v>
      </c>
      <c r="Q19" s="3">
        <v>0</v>
      </c>
      <c r="R19" s="3">
        <v>24</v>
      </c>
      <c r="S19" s="3">
        <v>43</v>
      </c>
      <c r="T19" s="3">
        <v>92</v>
      </c>
    </row>
    <row r="20" spans="1:20" ht="12.75" x14ac:dyDescent="0.2">
      <c r="A20" s="2" t="s">
        <v>10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1:20" ht="12.75" x14ac:dyDescent="0.2">
      <c r="A21" s="2" t="s">
        <v>11</v>
      </c>
      <c r="B21" s="3">
        <v>0</v>
      </c>
      <c r="C21" s="3">
        <v>4280</v>
      </c>
      <c r="D21" s="3">
        <v>0</v>
      </c>
      <c r="E21" s="3">
        <v>5172</v>
      </c>
      <c r="F21" s="3">
        <v>256</v>
      </c>
      <c r="G21" s="3">
        <v>294</v>
      </c>
      <c r="H21" s="3">
        <v>10000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2697</v>
      </c>
      <c r="Q21" s="3">
        <v>0</v>
      </c>
      <c r="R21" s="3">
        <v>0</v>
      </c>
      <c r="S21" s="3">
        <v>0</v>
      </c>
      <c r="T21" s="3">
        <v>0</v>
      </c>
    </row>
    <row r="22" spans="1:20" ht="12.75" x14ac:dyDescent="0.2">
      <c r="A22" s="2" t="s">
        <v>12</v>
      </c>
      <c r="B22" s="3">
        <v>30</v>
      </c>
      <c r="C22" s="3">
        <v>552</v>
      </c>
      <c r="D22" s="3">
        <v>0</v>
      </c>
      <c r="E22" s="3">
        <v>0</v>
      </c>
      <c r="F22" s="3">
        <v>340</v>
      </c>
      <c r="G22" s="3">
        <v>40</v>
      </c>
      <c r="H22" s="3">
        <v>0</v>
      </c>
      <c r="I22" s="3">
        <v>0</v>
      </c>
      <c r="J22" s="3">
        <v>170</v>
      </c>
      <c r="K22" s="3">
        <v>0</v>
      </c>
      <c r="L22" s="3">
        <v>0</v>
      </c>
      <c r="M22" s="3">
        <v>540</v>
      </c>
      <c r="N22" s="3">
        <v>0</v>
      </c>
      <c r="O22" s="3">
        <v>0</v>
      </c>
      <c r="P22" s="3">
        <v>0</v>
      </c>
      <c r="Q22" s="3">
        <v>550</v>
      </c>
      <c r="R22" s="3">
        <v>0</v>
      </c>
      <c r="S22" s="3">
        <v>0</v>
      </c>
      <c r="T22" s="3">
        <v>0</v>
      </c>
    </row>
    <row r="23" spans="1:20" ht="12.75" x14ac:dyDescent="0.2">
      <c r="A23" s="2" t="s">
        <v>13</v>
      </c>
      <c r="B23" s="3">
        <v>47</v>
      </c>
      <c r="C23" s="3">
        <v>0</v>
      </c>
      <c r="D23" s="3">
        <v>0</v>
      </c>
      <c r="E23" s="3">
        <v>0</v>
      </c>
      <c r="F23" s="3">
        <v>48</v>
      </c>
      <c r="G23" s="3">
        <v>0</v>
      </c>
      <c r="H23" s="3">
        <v>0</v>
      </c>
      <c r="I23" s="3">
        <v>0</v>
      </c>
      <c r="J23" s="3">
        <v>0</v>
      </c>
      <c r="K23" s="3">
        <v>86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200</v>
      </c>
      <c r="R23" s="3">
        <v>0</v>
      </c>
      <c r="S23" s="3">
        <v>0</v>
      </c>
      <c r="T23" s="3">
        <v>0</v>
      </c>
    </row>
    <row r="24" spans="1:20" ht="12.75" x14ac:dyDescent="0.2">
      <c r="A24" s="2" t="s">
        <v>6</v>
      </c>
      <c r="B24" s="3">
        <v>510</v>
      </c>
      <c r="C24" s="3">
        <v>180</v>
      </c>
      <c r="D24" s="3">
        <v>300</v>
      </c>
      <c r="E24" s="3">
        <v>92</v>
      </c>
      <c r="F24" s="3">
        <v>60</v>
      </c>
      <c r="G24" s="3">
        <v>470</v>
      </c>
      <c r="H24" s="3">
        <v>0</v>
      </c>
      <c r="I24" s="3">
        <v>0</v>
      </c>
      <c r="J24" s="3">
        <v>120</v>
      </c>
      <c r="K24" s="3">
        <v>40</v>
      </c>
      <c r="L24" s="3">
        <v>0</v>
      </c>
      <c r="M24" s="3">
        <v>760</v>
      </c>
      <c r="N24" s="3">
        <v>805</v>
      </c>
      <c r="O24" s="3">
        <v>25</v>
      </c>
      <c r="P24" s="3">
        <v>0</v>
      </c>
      <c r="Q24" s="3">
        <v>531</v>
      </c>
      <c r="R24" s="3">
        <v>50</v>
      </c>
      <c r="S24" s="3">
        <v>25</v>
      </c>
      <c r="T24" s="3">
        <v>75</v>
      </c>
    </row>
    <row r="25" spans="1:20" ht="25.5" x14ac:dyDescent="0.2">
      <c r="A25" s="2" t="s">
        <v>21</v>
      </c>
      <c r="B25" s="7">
        <v>1000</v>
      </c>
      <c r="C25" s="7">
        <v>1000</v>
      </c>
      <c r="D25" s="7">
        <v>1000</v>
      </c>
      <c r="E25" s="7">
        <v>1000</v>
      </c>
      <c r="F25" s="7">
        <v>1000</v>
      </c>
      <c r="G25" s="7">
        <v>1000</v>
      </c>
      <c r="H25" s="7">
        <v>1000</v>
      </c>
      <c r="I25" s="7">
        <v>1000</v>
      </c>
      <c r="J25" s="7">
        <v>1000</v>
      </c>
      <c r="K25" s="7">
        <v>1000</v>
      </c>
      <c r="L25" s="7">
        <v>1000</v>
      </c>
      <c r="M25" s="7">
        <v>1000</v>
      </c>
      <c r="N25" s="7">
        <v>1000</v>
      </c>
      <c r="O25" s="7">
        <v>1000</v>
      </c>
      <c r="P25" s="7">
        <v>1000</v>
      </c>
      <c r="Q25" s="7">
        <v>1000</v>
      </c>
      <c r="R25" s="7">
        <v>1000</v>
      </c>
      <c r="S25" s="7">
        <v>1000</v>
      </c>
      <c r="T25" s="7">
        <v>1000</v>
      </c>
    </row>
    <row r="26" spans="1:20" ht="15.75" customHeight="1" x14ac:dyDescent="0.2">
      <c r="B26" s="1">
        <f>COUNTIF(B2:B25,"&lt;&gt;0")</f>
        <v>17</v>
      </c>
      <c r="C26" s="1">
        <f>COUNTIF(C2:C25,"&lt;&gt;0")</f>
        <v>15</v>
      </c>
      <c r="D26" s="1">
        <f t="shared" ref="C26:T26" si="1">COUNTIF(D2:D25,"&lt;&gt;0")</f>
        <v>12</v>
      </c>
      <c r="E26" s="1">
        <f t="shared" si="1"/>
        <v>14</v>
      </c>
      <c r="F26" s="1">
        <f t="shared" si="1"/>
        <v>16</v>
      </c>
      <c r="G26" s="1">
        <f t="shared" si="1"/>
        <v>14</v>
      </c>
      <c r="H26" s="1">
        <f t="shared" si="1"/>
        <v>12</v>
      </c>
      <c r="I26" s="1">
        <f t="shared" si="1"/>
        <v>9</v>
      </c>
      <c r="J26" s="1">
        <f t="shared" si="1"/>
        <v>14</v>
      </c>
      <c r="K26" s="1">
        <f t="shared" si="1"/>
        <v>12</v>
      </c>
      <c r="L26" s="1">
        <f t="shared" si="1"/>
        <v>13</v>
      </c>
      <c r="M26" s="1">
        <f t="shared" si="1"/>
        <v>13</v>
      </c>
      <c r="N26" s="1">
        <f t="shared" si="1"/>
        <v>14</v>
      </c>
      <c r="O26" s="1">
        <f t="shared" si="1"/>
        <v>12</v>
      </c>
      <c r="P26" s="1">
        <f t="shared" si="1"/>
        <v>14</v>
      </c>
      <c r="Q26" s="1">
        <f t="shared" si="1"/>
        <v>15</v>
      </c>
      <c r="R26" s="1">
        <f t="shared" si="1"/>
        <v>15</v>
      </c>
      <c r="S26" s="1">
        <f t="shared" si="1"/>
        <v>12</v>
      </c>
      <c r="T26" s="1">
        <f t="shared" si="1"/>
        <v>14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מעקב הכנסות והוצאות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שי אביטבול</cp:lastModifiedBy>
  <dcterms:modified xsi:type="dcterms:W3CDTF">2026-04-21T17:25:30Z</dcterms:modified>
</cp:coreProperties>
</file>